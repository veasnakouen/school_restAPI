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s\"/>
    </mc:Choice>
  </mc:AlternateContent>
  <xr:revisionPtr revIDLastSave="0" documentId="13_ncr:1_{001887CF-95BA-4478-9C6A-A2DA83E8810B}" xr6:coauthVersionLast="47" xr6:coauthVersionMax="47" xr10:uidLastSave="{00000000-0000-0000-0000-000000000000}"/>
  <bookViews>
    <workbookView xWindow="0" yWindow="84" windowWidth="23124" windowHeight="12156" xr2:uid="{A61F7ADF-E218-4123-B0FA-FAE909A96C9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1" i="1" l="1"/>
  <c r="V11" i="1"/>
  <c r="T11" i="1"/>
  <c r="S11" i="1"/>
  <c r="Q11" i="1"/>
  <c r="O11" i="1"/>
  <c r="N11" i="1"/>
  <c r="J11" i="1"/>
  <c r="W10" i="1"/>
  <c r="V10" i="1"/>
  <c r="T10" i="1"/>
  <c r="S10" i="1"/>
  <c r="Q10" i="1"/>
  <c r="O10" i="1"/>
  <c r="N10" i="1"/>
  <c r="J10" i="1"/>
  <c r="W9" i="1"/>
  <c r="V9" i="1"/>
  <c r="T9" i="1"/>
  <c r="S9" i="1"/>
  <c r="Q9" i="1"/>
  <c r="O9" i="1"/>
  <c r="N9" i="1"/>
  <c r="J9" i="1"/>
  <c r="W8" i="1"/>
  <c r="V8" i="1"/>
  <c r="T8" i="1"/>
  <c r="S8" i="1"/>
  <c r="Q8" i="1"/>
  <c r="O8" i="1"/>
  <c r="N8" i="1"/>
  <c r="K8" i="1"/>
  <c r="K9" i="1" s="1"/>
  <c r="K10" i="1" s="1"/>
  <c r="K11" i="1" s="1"/>
  <c r="P11" i="1" s="1"/>
  <c r="J8" i="1"/>
  <c r="P8" i="1" s="1"/>
  <c r="W7" i="1"/>
  <c r="V7" i="1"/>
  <c r="T7" i="1"/>
  <c r="U7" i="1" s="1"/>
  <c r="S7" i="1"/>
  <c r="Q7" i="1"/>
  <c r="P7" i="1"/>
  <c r="O7" i="1"/>
  <c r="N7" i="1"/>
  <c r="L7" i="1"/>
  <c r="L8" i="1" s="1"/>
  <c r="L9" i="1" s="1"/>
  <c r="K7" i="1"/>
  <c r="J7" i="1"/>
  <c r="M7" i="1" s="1"/>
  <c r="W6" i="1"/>
  <c r="V6" i="1"/>
  <c r="T6" i="1"/>
  <c r="U6" i="1" s="1"/>
  <c r="S6" i="1"/>
  <c r="R6" i="1"/>
  <c r="R7" i="1" s="1"/>
  <c r="R8" i="1" s="1"/>
  <c r="R9" i="1" s="1"/>
  <c r="R10" i="1" s="1"/>
  <c r="R11" i="1" s="1"/>
  <c r="Q6" i="1"/>
  <c r="O6" i="1"/>
  <c r="N6" i="1"/>
  <c r="L6" i="1"/>
  <c r="K6" i="1"/>
  <c r="J6" i="1"/>
  <c r="M6" i="1" s="1"/>
  <c r="W5" i="1"/>
  <c r="V5" i="1"/>
  <c r="T5" i="1"/>
  <c r="S5" i="1"/>
  <c r="Q5" i="1"/>
  <c r="O5" i="1"/>
  <c r="N5" i="1"/>
  <c r="J5" i="1"/>
  <c r="P5" i="1" s="1"/>
  <c r="W4" i="1"/>
  <c r="V4" i="1"/>
  <c r="T4" i="1"/>
  <c r="S4" i="1"/>
  <c r="Q4" i="1"/>
  <c r="O4" i="1"/>
  <c r="N4" i="1"/>
  <c r="L4" i="1"/>
  <c r="L5" i="1" s="1"/>
  <c r="J4" i="1"/>
  <c r="W3" i="1"/>
  <c r="V3" i="1"/>
  <c r="T3" i="1"/>
  <c r="S3" i="1"/>
  <c r="R3" i="1"/>
  <c r="R4" i="1" s="1"/>
  <c r="R5" i="1" s="1"/>
  <c r="Q3" i="1"/>
  <c r="P3" i="1"/>
  <c r="O3" i="1"/>
  <c r="N3" i="1"/>
  <c r="L3" i="1"/>
  <c r="J3" i="1"/>
  <c r="X2" i="1"/>
  <c r="W2" i="1"/>
  <c r="V2" i="1"/>
  <c r="X4" i="1" s="1"/>
  <c r="T2" i="1"/>
  <c r="U2" i="1" s="1"/>
  <c r="S2" i="1"/>
  <c r="R2" i="1"/>
  <c r="Q2" i="1"/>
  <c r="O2" i="1"/>
  <c r="N2" i="1"/>
  <c r="L2" i="1"/>
  <c r="K2" i="1"/>
  <c r="K3" i="1" s="1"/>
  <c r="K4" i="1" s="1"/>
  <c r="K5" i="1" s="1"/>
  <c r="J2" i="1"/>
  <c r="M2" i="1" s="1"/>
  <c r="U5" i="1" l="1"/>
  <c r="U9" i="1"/>
  <c r="U10" i="1"/>
  <c r="U11" i="1"/>
  <c r="L10" i="1"/>
  <c r="L11" i="1" s="1"/>
  <c r="M11" i="1" s="1"/>
  <c r="M9" i="1"/>
  <c r="P6" i="1"/>
  <c r="P10" i="1"/>
  <c r="M8" i="1"/>
  <c r="U8" i="1"/>
  <c r="P9" i="1"/>
  <c r="M5" i="1"/>
  <c r="M3" i="1"/>
  <c r="U3" i="1"/>
  <c r="U4" i="1"/>
  <c r="M4" i="1"/>
  <c r="P4" i="1"/>
  <c r="P2" i="1"/>
  <c r="M10" i="1" l="1"/>
</calcChain>
</file>

<file path=xl/sharedStrings.xml><?xml version="1.0" encoding="utf-8"?>
<sst xmlns="http://schemas.openxmlformats.org/spreadsheetml/2006/main" count="60" uniqueCount="27">
  <si>
    <t>Medical_File_id</t>
  </si>
  <si>
    <t>created_date</t>
  </si>
  <si>
    <t>Gender</t>
  </si>
  <si>
    <t>Age</t>
  </si>
  <si>
    <t>tblConsult::date</t>
  </si>
  <si>
    <t>tblConsult::Consult_type</t>
  </si>
  <si>
    <t>tblConsult::Diagnosis_type</t>
  </si>
  <si>
    <t>tblConsult::Service_Type</t>
  </si>
  <si>
    <t>tblConsult::location_type</t>
  </si>
  <si>
    <t>m-y</t>
  </si>
  <si>
    <t>age</t>
  </si>
  <si>
    <t>gender</t>
  </si>
  <si>
    <t>Create Date</t>
  </si>
  <si>
    <t>id</t>
  </si>
  <si>
    <t>For Narey</t>
  </si>
  <si>
    <t>Cal for &lt;18,&gt;=18</t>
  </si>
  <si>
    <t>Trimes</t>
  </si>
  <si>
    <t>Male</t>
  </si>
  <si>
    <t>New</t>
  </si>
  <si>
    <t>Upper ARI</t>
  </si>
  <si>
    <t>Medical</t>
  </si>
  <si>
    <t>Clinic</t>
  </si>
  <si>
    <t>Follow-Up</t>
  </si>
  <si>
    <t>Not Applicable</t>
  </si>
  <si>
    <t>Female</t>
  </si>
  <si>
    <t>Other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</si>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</sst>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2811-E629-4E1F-AA93-063FD3D2D640}">
  <dimension ref="A1:X15"/>
  <sheetViews>
    <sheetView tabSelected="1" topLeftCell="H5" zoomScale="85" zoomScaleNormal="85" workbookViewId="0">
      <selection activeCell="U21" sqref="U21"/>
    </sheetView>
  </sheetViews>
  <sheetFormatPr defaultRowHeight="14.4" x14ac:dyDescent="0.3"/>
  <cols>
    <col min="1" max="1" width="20.5546875" customWidth="1"/>
    <col min="2" max="2" width="14.44140625" customWidth="1"/>
    <col min="5" max="5" width="14.5546875" bestFit="1" customWidth="1"/>
    <col min="13" max="13" width="34.77734375" bestFit="1" customWidth="1"/>
    <col min="14" max="14" width="14" bestFit="1" customWidth="1"/>
    <col min="15" max="15" width="14.109375" bestFit="1" customWidth="1"/>
    <col min="16" max="16" width="28.21875" customWidth="1"/>
    <col min="17" max="17" width="14.109375" bestFit="1" customWidth="1"/>
    <col min="18" max="18" width="4.88671875" customWidth="1"/>
    <col min="19" max="19" width="14" bestFit="1" customWidth="1"/>
    <col min="21" max="21" width="15" bestFit="1" customWidth="1"/>
  </cols>
  <sheetData>
    <row r="1" spans="1:2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t="s">
        <v>12</v>
      </c>
      <c r="R1" t="s">
        <v>13</v>
      </c>
      <c r="S1" t="s">
        <v>14</v>
      </c>
      <c r="U1" t="s">
        <v>15</v>
      </c>
      <c r="V1" t="s">
        <v>16</v>
      </c>
    </row>
    <row r="2" spans="1:24" x14ac:dyDescent="0.3">
      <c r="A2" s="3">
        <v>1</v>
      </c>
      <c r="B2" s="4">
        <v>40113.396736111201</v>
      </c>
      <c r="C2" s="5" t="s">
        <v>17</v>
      </c>
      <c r="D2" s="3">
        <v>20</v>
      </c>
      <c r="E2" s="6">
        <v>40140</v>
      </c>
      <c r="F2" s="5" t="s">
        <v>18</v>
      </c>
      <c r="G2" s="5" t="s">
        <v>19</v>
      </c>
      <c r="H2" s="5" t="s">
        <v>20</v>
      </c>
      <c r="I2" s="5" t="s">
        <v>21</v>
      </c>
      <c r="J2" t="str">
        <f>TEXT(E2,"MMM")&amp;"-"&amp;TEXT(E2,"YY")</f>
        <v>Nov-09</v>
      </c>
      <c r="K2">
        <f>IF(A2="",D2,D2)</f>
        <v>20</v>
      </c>
      <c r="L2" t="str">
        <f>IF(A2="",C2,C2)</f>
        <v>Male</v>
      </c>
      <c r="M2" t="str">
        <f>J2&amp;L2&amp;IF($K2&lt;=24,"Y","A")&amp;F2&amp;H2&amp;I2</f>
        <v>Nov-09MaleYNewMedicalClinic</v>
      </c>
      <c r="N2" t="str">
        <f>IF($B2&gt;0,TEXT($B2,"MMM")&amp;"-"&amp;TEXT($B2,"YY"),"")&amp;$C2&amp;IF($D2&gt;24,"A","Y")</f>
        <v>Oct-09MaleY</v>
      </c>
      <c r="O2" t="str">
        <f>IF($B2&gt;0,TEXT($B2,"MMM")&amp;"-"&amp;TEXT($B2,"YY"),"")&amp;$C2&amp;IF($D2&gt;=18,"A","Y")</f>
        <v>Oct-09MaleA</v>
      </c>
      <c r="P2" t="str">
        <f>IF(A2&gt;0,J2&amp;F2&amp;H2&amp;I2&amp;IF(K2&lt;=24,"Y","A"),"")</f>
        <v>Nov-09NewMedicalClinicY</v>
      </c>
      <c r="Q2" t="str">
        <f>IF($B2&gt;0,TEXT($B2,"MMM")&amp;"-"&amp;TEXT($B2,"YY"),"")&amp;$C2&amp;IF($D2="","",IF($D2&gt;=18,"A","Y"))</f>
        <v>Oct-09MaleA</v>
      </c>
      <c r="R2">
        <f>IF(A2&gt;0,A2,A2)</f>
        <v>1</v>
      </c>
      <c r="S2" t="str">
        <f>IF($B2&gt;0,TEXT($B2,"MMM")&amp;"-"&amp;TEXT($B2,"YY"),"")&amp;$C2&amp;IF($D2="","",IF($D2&lt;3,"A",IF($D2&lt;6,"B",IF($D2&lt;12,"C",IF($D2&lt;18,"D",IF($D2&gt;=18,"E","Recheck"))))))</f>
        <v>Oct-09MaleE</v>
      </c>
      <c r="T2" t="str">
        <f>IF(E2&gt;0,TEXT(E2,"YYYY"),"")</f>
        <v>2009</v>
      </c>
      <c r="U2" t="str">
        <f>T2&amp;IF(K2&lt;=18,"Y","A")</f>
        <v>2009A</v>
      </c>
      <c r="V2" t="str">
        <f>IF($B2&gt;0,TEXT($B2,"MMM")&amp;"-"&amp;TEXT($B2,"YY"),"")</f>
        <v>Oct-09</v>
      </c>
      <c r="W2" t="str">
        <f>IF($D2="","",IF($D2&lt;=2,"A",IF($D2&lt;=9,"B",IF($D2&lt;=14,"C",IF($D2&lt;=17,"D",IF($D2&lt;=24,"E","Y"))))))</f>
        <v>E</v>
      </c>
      <c r="X2" t="b">
        <f>ISNUMBER(SEARCH("oct","october" ))</f>
        <v>1</v>
      </c>
    </row>
    <row r="3" spans="1:24" x14ac:dyDescent="0.3">
      <c r="B3" s="4"/>
      <c r="E3" s="6">
        <v>40141</v>
      </c>
      <c r="F3" s="5" t="s">
        <v>18</v>
      </c>
      <c r="G3" s="5" t="s">
        <v>19</v>
      </c>
      <c r="H3" s="5" t="s">
        <v>20</v>
      </c>
      <c r="I3" s="5" t="s">
        <v>21</v>
      </c>
      <c r="J3" t="str">
        <f t="shared" ref="J3:J11" si="0">TEXT(E3,"MMM")&amp;"-"&amp;TEXT(E3,"YY")</f>
        <v>Nov-09</v>
      </c>
      <c r="K3">
        <f>IF(A3="",K2,D3)</f>
        <v>20</v>
      </c>
      <c r="L3" t="str">
        <f t="shared" ref="L3:L11" si="1">IF(A3="",L2,C3)</f>
        <v>Male</v>
      </c>
      <c r="M3" t="str">
        <f t="shared" ref="M3:M11" si="2">J3&amp;L3&amp;IF($K3&lt;=24,"Y","A")&amp;F3&amp;H3&amp;I3</f>
        <v>Nov-09MaleYNewMedicalClinic</v>
      </c>
      <c r="N3" t="str">
        <f>IF(B3&gt;0,TEXT(B3,"MMM")&amp;"-"&amp;TEXT(B3,"YY"),"")&amp;C3&amp;IF(D3&gt;24,"A","Y")</f>
        <v>Y</v>
      </c>
      <c r="O3" t="str">
        <f t="shared" ref="O3:O11" si="3">IF($B3&gt;0,TEXT($B3,"MMM")&amp;"-"&amp;TEXT($B3,"YY"),"")&amp;$C3&amp;IF($D3&gt;=18,"A","Y")</f>
        <v>Y</v>
      </c>
      <c r="P3" t="str">
        <f>IF(A3&gt;0,J3&amp;F3&amp;H3&amp;I3&amp;IF(K3&lt;=24,"Y","A"),"")</f>
        <v/>
      </c>
      <c r="Q3" t="str">
        <f>IF($B3&gt;0,TEXT($B3,"MMM")&amp;"-"&amp;TEXT($B3,"YY"),"")&amp;$C3&amp;IF($D3="","",IF($D3&gt;=18,"A","Y"))</f>
        <v/>
      </c>
      <c r="R3">
        <f>IF(A3&gt;0,A3,R2)</f>
        <v>1</v>
      </c>
      <c r="S3" t="str">
        <f t="shared" ref="S3:S11" si="4">IF($B3&gt;0,TEXT($B3,"MMM")&amp;"-"&amp;TEXT($B3,"YY"),"")&amp;$C3&amp;IF($D3="","",IF($D3&lt;3,"A",IF($D3&lt;6,"B",IF($D3&lt;12,"C",IF($D3&lt;18,"D",IF($D3&gt;=18,"E","Recheck"))))))</f>
        <v/>
      </c>
      <c r="T3" t="str">
        <f t="shared" ref="T3:T11" si="5">IF(E3&gt;0,TEXT(E3,"YYYY"),"")</f>
        <v>2009</v>
      </c>
      <c r="U3" t="str">
        <f t="shared" ref="U3:U11" si="6">T3&amp;IF(K3&lt;=18,"Y","A")</f>
        <v>2009A</v>
      </c>
      <c r="V3" t="str">
        <f t="shared" ref="V3:V11" si="7">IF($B3&gt;0,TEXT($B3,"MMM")&amp;"-"&amp;TEXT($B3,"YY"),"")</f>
        <v/>
      </c>
      <c r="W3" t="str">
        <f t="shared" ref="W3:W11" si="8">IF($D3="","",IF($D3&lt;=2,"A",IF($D3&lt;=9,"B",IF($D3&lt;=14,"C",IF($D3&lt;=17,"D",IF($D3&lt;=24,"E","Y"))))))</f>
        <v/>
      </c>
    </row>
    <row r="4" spans="1:24" x14ac:dyDescent="0.3">
      <c r="B4" s="4"/>
      <c r="E4" s="6">
        <v>40142</v>
      </c>
      <c r="F4" s="5" t="s">
        <v>22</v>
      </c>
      <c r="G4" s="5" t="s">
        <v>19</v>
      </c>
      <c r="H4" s="5" t="s">
        <v>20</v>
      </c>
      <c r="I4" s="5" t="s">
        <v>21</v>
      </c>
      <c r="J4" t="str">
        <f t="shared" si="0"/>
        <v>Nov-09</v>
      </c>
      <c r="K4">
        <f t="shared" ref="K4:K11" si="9">IF(A4="",K3,D4)</f>
        <v>20</v>
      </c>
      <c r="L4" t="str">
        <f t="shared" si="1"/>
        <v>Male</v>
      </c>
      <c r="M4" t="str">
        <f t="shared" si="2"/>
        <v>Nov-09MaleYFollow-UpMedicalClinic</v>
      </c>
      <c r="N4" t="str">
        <f t="shared" ref="N4:N11" si="10">IF(B4&gt;0,TEXT(B4,"MMM")&amp;"-"&amp;TEXT(B4,"YY"),"")&amp;C4&amp;IF(D4&gt;24,"A","Y")</f>
        <v>Y</v>
      </c>
      <c r="O4" t="str">
        <f t="shared" si="3"/>
        <v>Y</v>
      </c>
      <c r="P4" t="str">
        <f t="shared" ref="P4:P11" si="11">IF(AND(J4=J3,A4=""),"",J4&amp;F4&amp;H4&amp;I4&amp;IF(K4&lt;=24,"Y","A"))</f>
        <v/>
      </c>
      <c r="Q4" t="str">
        <f t="shared" ref="Q4:Q11" si="12">IF($B4&gt;0,TEXT($B4,"MMM")&amp;"-"&amp;TEXT($B4,"YY"),"")&amp;$C4&amp;IF($D4="","",IF($D4&gt;=18,"A","Y"))</f>
        <v/>
      </c>
      <c r="R4">
        <f t="shared" ref="R4:R11" si="13">IF(A4&gt;0,A4,R3)</f>
        <v>1</v>
      </c>
      <c r="S4" t="str">
        <f t="shared" si="4"/>
        <v/>
      </c>
      <c r="T4" t="str">
        <f t="shared" si="5"/>
        <v>2009</v>
      </c>
      <c r="U4" t="str">
        <f t="shared" si="6"/>
        <v>2009A</v>
      </c>
      <c r="V4" t="str">
        <f t="shared" si="7"/>
        <v/>
      </c>
      <c r="W4" t="str">
        <f t="shared" si="8"/>
        <v/>
      </c>
      <c r="X4" t="b">
        <f>ISNUMBER(SEARCH(TEXT(V2,0),TEXT(Q2,0)))</f>
        <v>0</v>
      </c>
    </row>
    <row r="5" spans="1:24" x14ac:dyDescent="0.3">
      <c r="B5" s="4"/>
      <c r="E5" s="6">
        <v>40508</v>
      </c>
      <c r="F5" s="5" t="s">
        <v>22</v>
      </c>
      <c r="G5" s="5" t="s">
        <v>23</v>
      </c>
      <c r="H5" s="5" t="s">
        <v>20</v>
      </c>
      <c r="I5" s="5" t="s">
        <v>21</v>
      </c>
      <c r="J5" t="str">
        <f t="shared" si="0"/>
        <v>Nov-10</v>
      </c>
      <c r="K5">
        <f t="shared" si="9"/>
        <v>20</v>
      </c>
      <c r="L5" t="str">
        <f t="shared" si="1"/>
        <v>Male</v>
      </c>
      <c r="M5" t="str">
        <f t="shared" si="2"/>
        <v>Nov-10MaleYFollow-UpMedicalClinic</v>
      </c>
      <c r="N5" t="str">
        <f t="shared" si="10"/>
        <v>Y</v>
      </c>
      <c r="O5" t="str">
        <f t="shared" si="3"/>
        <v>Y</v>
      </c>
      <c r="P5" t="str">
        <f t="shared" si="11"/>
        <v>Nov-10Follow-UpMedicalClinicY</v>
      </c>
      <c r="Q5" t="str">
        <f t="shared" si="12"/>
        <v/>
      </c>
      <c r="R5">
        <f t="shared" si="13"/>
        <v>1</v>
      </c>
      <c r="S5" t="str">
        <f t="shared" si="4"/>
        <v/>
      </c>
      <c r="T5" t="str">
        <f t="shared" si="5"/>
        <v>2010</v>
      </c>
      <c r="U5" t="str">
        <f t="shared" si="6"/>
        <v>2010A</v>
      </c>
      <c r="V5" t="str">
        <f t="shared" si="7"/>
        <v/>
      </c>
      <c r="W5" t="str">
        <f t="shared" si="8"/>
        <v/>
      </c>
    </row>
    <row r="6" spans="1:24" x14ac:dyDescent="0.3">
      <c r="A6" s="3">
        <v>2</v>
      </c>
      <c r="B6" s="4">
        <v>40113.396736111201</v>
      </c>
      <c r="C6" s="5" t="s">
        <v>24</v>
      </c>
      <c r="D6" s="3">
        <v>18</v>
      </c>
      <c r="E6" s="6">
        <v>40140</v>
      </c>
      <c r="F6" s="5" t="s">
        <v>18</v>
      </c>
      <c r="G6" s="5" t="s">
        <v>19</v>
      </c>
      <c r="H6" s="5" t="s">
        <v>20</v>
      </c>
      <c r="I6" s="5" t="s">
        <v>21</v>
      </c>
      <c r="J6" t="str">
        <f t="shared" si="0"/>
        <v>Nov-09</v>
      </c>
      <c r="K6">
        <f t="shared" si="9"/>
        <v>18</v>
      </c>
      <c r="L6" t="str">
        <f t="shared" si="1"/>
        <v>Female</v>
      </c>
      <c r="M6" t="str">
        <f t="shared" si="2"/>
        <v>Nov-09FemaleYNewMedicalClinic</v>
      </c>
      <c r="N6" t="str">
        <f t="shared" si="10"/>
        <v>Oct-09FemaleY</v>
      </c>
      <c r="O6" t="str">
        <f t="shared" si="3"/>
        <v>Oct-09FemaleA</v>
      </c>
      <c r="P6" t="str">
        <f t="shared" si="11"/>
        <v>Nov-09NewMedicalClinicY</v>
      </c>
      <c r="Q6" t="str">
        <f t="shared" si="12"/>
        <v>Oct-09FemaleA</v>
      </c>
      <c r="R6">
        <f t="shared" si="13"/>
        <v>2</v>
      </c>
      <c r="S6" t="str">
        <f t="shared" si="4"/>
        <v>Oct-09FemaleE</v>
      </c>
      <c r="T6" t="str">
        <f t="shared" si="5"/>
        <v>2009</v>
      </c>
      <c r="U6" t="str">
        <f t="shared" si="6"/>
        <v>2009Y</v>
      </c>
      <c r="V6" t="str">
        <f t="shared" si="7"/>
        <v>Oct-09</v>
      </c>
      <c r="W6" t="str">
        <f t="shared" si="8"/>
        <v>E</v>
      </c>
    </row>
    <row r="7" spans="1:24" x14ac:dyDescent="0.3">
      <c r="B7" s="4"/>
      <c r="E7" s="6">
        <v>40141</v>
      </c>
      <c r="F7" s="5" t="s">
        <v>22</v>
      </c>
      <c r="G7" s="5" t="s">
        <v>23</v>
      </c>
      <c r="H7" s="5" t="s">
        <v>20</v>
      </c>
      <c r="I7" s="5" t="s">
        <v>21</v>
      </c>
      <c r="J7" t="str">
        <f t="shared" si="0"/>
        <v>Nov-09</v>
      </c>
      <c r="K7">
        <f t="shared" si="9"/>
        <v>18</v>
      </c>
      <c r="L7" t="str">
        <f t="shared" si="1"/>
        <v>Female</v>
      </c>
      <c r="M7" t="str">
        <f t="shared" si="2"/>
        <v>Nov-09FemaleYFollow-UpMedicalClinic</v>
      </c>
      <c r="N7" t="str">
        <f t="shared" si="10"/>
        <v>Y</v>
      </c>
      <c r="O7" t="str">
        <f t="shared" si="3"/>
        <v>Y</v>
      </c>
      <c r="P7" t="str">
        <f t="shared" si="11"/>
        <v/>
      </c>
      <c r="Q7" t="str">
        <f t="shared" si="12"/>
        <v/>
      </c>
      <c r="R7">
        <f t="shared" si="13"/>
        <v>2</v>
      </c>
      <c r="S7" t="str">
        <f t="shared" si="4"/>
        <v/>
      </c>
      <c r="T7" t="str">
        <f t="shared" si="5"/>
        <v>2009</v>
      </c>
      <c r="U7" t="str">
        <f t="shared" si="6"/>
        <v>2009Y</v>
      </c>
      <c r="V7" t="str">
        <f t="shared" si="7"/>
        <v/>
      </c>
      <c r="W7" t="str">
        <f t="shared" si="8"/>
        <v/>
      </c>
    </row>
    <row r="8" spans="1:24" x14ac:dyDescent="0.3">
      <c r="B8" s="4"/>
      <c r="E8" s="6">
        <v>40142</v>
      </c>
      <c r="F8" s="5" t="s">
        <v>22</v>
      </c>
      <c r="G8" s="5" t="s">
        <v>23</v>
      </c>
      <c r="H8" s="5" t="s">
        <v>20</v>
      </c>
      <c r="I8" s="5" t="s">
        <v>21</v>
      </c>
      <c r="J8" t="str">
        <f t="shared" si="0"/>
        <v>Nov-09</v>
      </c>
      <c r="K8">
        <f t="shared" si="9"/>
        <v>18</v>
      </c>
      <c r="L8" t="str">
        <f t="shared" si="1"/>
        <v>Female</v>
      </c>
      <c r="M8" t="str">
        <f t="shared" si="2"/>
        <v>Nov-09FemaleYFollow-UpMedicalClinic</v>
      </c>
      <c r="N8" t="str">
        <f t="shared" si="10"/>
        <v>Y</v>
      </c>
      <c r="O8" t="str">
        <f t="shared" si="3"/>
        <v>Y</v>
      </c>
      <c r="P8" t="str">
        <f t="shared" si="11"/>
        <v/>
      </c>
      <c r="Q8" t="str">
        <f t="shared" si="12"/>
        <v/>
      </c>
      <c r="R8">
        <f t="shared" si="13"/>
        <v>2</v>
      </c>
      <c r="S8" t="str">
        <f t="shared" si="4"/>
        <v/>
      </c>
      <c r="T8" t="str">
        <f t="shared" si="5"/>
        <v>2009</v>
      </c>
      <c r="U8" t="str">
        <f t="shared" si="6"/>
        <v>2009Y</v>
      </c>
      <c r="V8" t="str">
        <f t="shared" si="7"/>
        <v/>
      </c>
      <c r="W8" t="str">
        <f t="shared" si="8"/>
        <v/>
      </c>
    </row>
    <row r="9" spans="1:24" x14ac:dyDescent="0.3">
      <c r="B9" s="4"/>
      <c r="E9" s="6">
        <v>40143</v>
      </c>
      <c r="F9" s="5" t="s">
        <v>22</v>
      </c>
      <c r="G9" s="5" t="s">
        <v>23</v>
      </c>
      <c r="H9" s="5" t="s">
        <v>20</v>
      </c>
      <c r="I9" s="5" t="s">
        <v>21</v>
      </c>
      <c r="J9" t="str">
        <f t="shared" si="0"/>
        <v>Nov-09</v>
      </c>
      <c r="K9">
        <f t="shared" si="9"/>
        <v>18</v>
      </c>
      <c r="L9" t="str">
        <f t="shared" si="1"/>
        <v>Female</v>
      </c>
      <c r="M9" t="str">
        <f t="shared" si="2"/>
        <v>Nov-09FemaleYFollow-UpMedicalClinic</v>
      </c>
      <c r="N9" t="str">
        <f t="shared" si="10"/>
        <v>Y</v>
      </c>
      <c r="O9" t="str">
        <f t="shared" si="3"/>
        <v>Y</v>
      </c>
      <c r="P9" t="str">
        <f t="shared" si="11"/>
        <v/>
      </c>
      <c r="Q9" t="str">
        <f t="shared" si="12"/>
        <v/>
      </c>
      <c r="R9">
        <f t="shared" si="13"/>
        <v>2</v>
      </c>
      <c r="S9" t="str">
        <f t="shared" si="4"/>
        <v/>
      </c>
      <c r="T9" t="str">
        <f t="shared" si="5"/>
        <v>2009</v>
      </c>
      <c r="U9" t="str">
        <f t="shared" si="6"/>
        <v>2009Y</v>
      </c>
      <c r="V9" t="str">
        <f t="shared" si="7"/>
        <v/>
      </c>
      <c r="W9" t="str">
        <f t="shared" si="8"/>
        <v/>
      </c>
    </row>
    <row r="10" spans="1:24" x14ac:dyDescent="0.3">
      <c r="B10" s="4"/>
      <c r="E10" s="6">
        <v>40144</v>
      </c>
      <c r="F10" s="5" t="s">
        <v>22</v>
      </c>
      <c r="G10" s="5" t="s">
        <v>23</v>
      </c>
      <c r="H10" s="5" t="s">
        <v>20</v>
      </c>
      <c r="I10" s="5" t="s">
        <v>21</v>
      </c>
      <c r="J10" t="str">
        <f t="shared" si="0"/>
        <v>Nov-09</v>
      </c>
      <c r="K10">
        <f t="shared" si="9"/>
        <v>18</v>
      </c>
      <c r="L10" t="str">
        <f t="shared" si="1"/>
        <v>Female</v>
      </c>
      <c r="M10" t="str">
        <f t="shared" si="2"/>
        <v>Nov-09FemaleYFollow-UpMedicalClinic</v>
      </c>
      <c r="N10" t="str">
        <f t="shared" si="10"/>
        <v>Y</v>
      </c>
      <c r="O10" t="str">
        <f t="shared" si="3"/>
        <v>Y</v>
      </c>
      <c r="P10" t="str">
        <f t="shared" si="11"/>
        <v/>
      </c>
      <c r="Q10" t="str">
        <f t="shared" si="12"/>
        <v/>
      </c>
      <c r="R10">
        <f t="shared" si="13"/>
        <v>2</v>
      </c>
      <c r="S10" t="str">
        <f t="shared" si="4"/>
        <v/>
      </c>
      <c r="T10" t="str">
        <f t="shared" si="5"/>
        <v>2009</v>
      </c>
      <c r="U10" t="str">
        <f t="shared" si="6"/>
        <v>2009Y</v>
      </c>
      <c r="V10" t="str">
        <f t="shared" si="7"/>
        <v/>
      </c>
      <c r="W10" t="str">
        <f t="shared" si="8"/>
        <v/>
      </c>
    </row>
    <row r="11" spans="1:24" x14ac:dyDescent="0.3">
      <c r="B11" s="4"/>
      <c r="E11" s="6">
        <v>40198</v>
      </c>
      <c r="F11" s="5" t="s">
        <v>18</v>
      </c>
      <c r="G11" s="5" t="s">
        <v>25</v>
      </c>
      <c r="H11" s="5" t="s">
        <v>20</v>
      </c>
      <c r="I11" s="5" t="s">
        <v>21</v>
      </c>
      <c r="J11" t="str">
        <f t="shared" si="0"/>
        <v>Jan-10</v>
      </c>
      <c r="K11">
        <f t="shared" si="9"/>
        <v>18</v>
      </c>
      <c r="L11" t="str">
        <f t="shared" si="1"/>
        <v>Female</v>
      </c>
      <c r="M11" t="str">
        <f t="shared" si="2"/>
        <v>Jan-10FemaleYNewMedicalClinic</v>
      </c>
      <c r="N11" t="str">
        <f t="shared" si="10"/>
        <v>Y</v>
      </c>
      <c r="O11" t="str">
        <f t="shared" si="3"/>
        <v>Y</v>
      </c>
      <c r="P11" t="str">
        <f t="shared" si="11"/>
        <v>Jan-10NewMedicalClinicY</v>
      </c>
      <c r="Q11" t="str">
        <f t="shared" si="12"/>
        <v/>
      </c>
      <c r="R11">
        <f t="shared" si="13"/>
        <v>2</v>
      </c>
      <c r="S11" t="str">
        <f t="shared" si="4"/>
        <v/>
      </c>
      <c r="T11" t="str">
        <f t="shared" si="5"/>
        <v>2010</v>
      </c>
      <c r="U11" t="str">
        <f t="shared" si="6"/>
        <v>2010Y</v>
      </c>
      <c r="V11" t="str">
        <f t="shared" si="7"/>
        <v/>
      </c>
      <c r="W11" t="str">
        <f t="shared" si="8"/>
        <v/>
      </c>
    </row>
    <row r="15" spans="1:24" x14ac:dyDescent="0.3">
      <c r="O15" t="s">
        <v>26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DAFCE6-720B-4085-A7E0-AC6F4DFA3DF9}">
          <x14:formula1>
            <xm:f>Sheet2!$A:$A</xm:f>
          </x14:formula1>
          <xm:sqref>S28:S40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1AD0-393B-448F-8818-C52DEF4DC0BD}">
  <dimension ref="A1:A29"/>
  <sheetViews>
    <sheetView workbookViewId="0">
      <selection activeCell="F28" sqref="F28"/>
    </sheetView>
  </sheetViews>
  <sheetFormatPr defaultRowHeight="14.4" x14ac:dyDescent="0.3"/>
  <sheetData>
    <row r="1" spans="1:1" x14ac:dyDescent="0.3">
      <c r="A1">
        <v>2009</v>
      </c>
    </row>
    <row r="2" spans="1:1" x14ac:dyDescent="0.3">
      <c r="A2">
        <v>2010</v>
      </c>
    </row>
    <row r="3" spans="1:1" x14ac:dyDescent="0.3">
      <c r="A3">
        <v>2011</v>
      </c>
    </row>
    <row r="4" spans="1:1" x14ac:dyDescent="0.3">
      <c r="A4">
        <v>2012</v>
      </c>
    </row>
    <row r="5" spans="1:1" x14ac:dyDescent="0.3">
      <c r="A5">
        <v>2013</v>
      </c>
    </row>
    <row r="6" spans="1:1" x14ac:dyDescent="0.3">
      <c r="A6">
        <v>2014</v>
      </c>
    </row>
    <row r="7" spans="1:1" x14ac:dyDescent="0.3">
      <c r="A7">
        <v>2015</v>
      </c>
    </row>
    <row r="8" spans="1:1" x14ac:dyDescent="0.3">
      <c r="A8">
        <v>2016</v>
      </c>
    </row>
    <row r="9" spans="1:1" x14ac:dyDescent="0.3">
      <c r="A9">
        <v>2017</v>
      </c>
    </row>
    <row r="10" spans="1:1" x14ac:dyDescent="0.3">
      <c r="A10">
        <v>2018</v>
      </c>
    </row>
    <row r="11" spans="1:1" x14ac:dyDescent="0.3">
      <c r="A11">
        <v>2019</v>
      </c>
    </row>
    <row r="12" spans="1:1" x14ac:dyDescent="0.3">
      <c r="A12">
        <v>2020</v>
      </c>
    </row>
    <row r="13" spans="1:1" x14ac:dyDescent="0.3">
      <c r="A13">
        <v>2021</v>
      </c>
    </row>
    <row r="14" spans="1:1" x14ac:dyDescent="0.3">
      <c r="A14">
        <v>2022</v>
      </c>
    </row>
    <row r="15" spans="1:1" x14ac:dyDescent="0.3">
      <c r="A15">
        <v>2023</v>
      </c>
    </row>
    <row r="16" spans="1:1" x14ac:dyDescent="0.3">
      <c r="A16">
        <v>2024</v>
      </c>
    </row>
    <row r="17" spans="1:1" x14ac:dyDescent="0.3">
      <c r="A17">
        <v>2025</v>
      </c>
    </row>
    <row r="18" spans="1:1" x14ac:dyDescent="0.3">
      <c r="A18">
        <v>2026</v>
      </c>
    </row>
    <row r="19" spans="1:1" x14ac:dyDescent="0.3">
      <c r="A19">
        <v>2027</v>
      </c>
    </row>
    <row r="20" spans="1:1" x14ac:dyDescent="0.3">
      <c r="A20">
        <v>2028</v>
      </c>
    </row>
    <row r="21" spans="1:1" x14ac:dyDescent="0.3">
      <c r="A21">
        <v>2029</v>
      </c>
    </row>
    <row r="22" spans="1:1" x14ac:dyDescent="0.3">
      <c r="A22">
        <v>2030</v>
      </c>
    </row>
    <row r="23" spans="1:1" x14ac:dyDescent="0.3">
      <c r="A23">
        <v>2031</v>
      </c>
    </row>
    <row r="24" spans="1:1" x14ac:dyDescent="0.3">
      <c r="A24">
        <v>2032</v>
      </c>
    </row>
    <row r="25" spans="1:1" x14ac:dyDescent="0.3">
      <c r="A25">
        <v>2033</v>
      </c>
    </row>
    <row r="26" spans="1:1" x14ac:dyDescent="0.3">
      <c r="A26">
        <v>2034</v>
      </c>
    </row>
    <row r="27" spans="1:1" x14ac:dyDescent="0.3">
      <c r="A27">
        <v>2035</v>
      </c>
    </row>
    <row r="28" spans="1:1" x14ac:dyDescent="0.3">
      <c r="A28">
        <v>2036</v>
      </c>
    </row>
    <row r="29" spans="1:1" x14ac:dyDescent="0.3">
      <c r="A29">
        <v>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MT</dc:creator>
  <cp:lastModifiedBy>IT MT</cp:lastModifiedBy>
  <dcterms:created xsi:type="dcterms:W3CDTF">2026-03-29T15:48:33Z</dcterms:created>
  <dcterms:modified xsi:type="dcterms:W3CDTF">2026-03-31T17:49:39Z</dcterms:modified>
</cp:coreProperties>
</file>